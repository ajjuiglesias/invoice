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checkCompatibility="1"/>
  <xr:revisionPtr revIDLastSave="0" documentId="13_ncr:1_{DE3931D3-22F1-43C4-91A4-0D0A6A5227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" sheetId="24" r:id="rId1"/>
    <sheet name="How To" sheetId="25" r:id="rId2"/>
  </sheets>
  <definedNames>
    <definedName name="_xlnm.Print_Area" localSheetId="0">Invoice!$A$1:$J$52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<sst xmlns="http://schemas.openxmlformats.org/spreadsheetml/2006/main" count="87" uniqueCount="87">
  <si>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Julia Charles Event Management</t>
  </si>
  <si>
    <t>INVOICE</t>
  </si>
  <si>
    <t>Julia Charles Event Management Ltd. </t>
  </si>
  <si>
    <t>First Floor Suite at 4 Canon Harnett Court </t>
  </si>
  <si>
    <t>Warren Park </t>
  </si>
  <si>
    <t>INVOICE #</t>
  </si>
  <si>
    <t>ISSUE DATE</t>
  </si>
  <si>
    <t>Stratford Road </t>
  </si>
  <si>
    <t>Wolverton Mill </t>
  </si>
  <si>
    <t>Milton Keynes </t>
  </si>
  <si>
    <t>MK12 5NW </t>
  </si>
  <si>
    <t>BANK DETAILS (ALL FREELANCERS)</t>
  </si>
  <si>
    <t xml:space="preserve">FREELANCER DETAILS </t>
  </si>
  <si>
    <t>ACCOUNT NAME:</t>
  </si>
  <si>
    <t>Full Name:</t>
  </si>
  <si>
    <t>BANK NAME:</t>
  </si>
  <si>
    <t>SORT CODE:</t>
  </si>
  <si>
    <t>Business Name:</t>
  </si>
  <si>
    <t>ACCOUNT NUMBER:</t>
  </si>
  <si>
    <t>Email Address:</t>
  </si>
  <si>
    <t>ADDITIONAL (OVERSEAS)</t>
  </si>
  <si>
    <t>Postal Address:</t>
  </si>
  <si>
    <t>IBAN:</t>
  </si>
  <si>
    <t>Country:</t>
  </si>
  <si>
    <t>BIC/SWIFT:</t>
  </si>
  <si>
    <t>CURRENCY:</t>
  </si>
  <si>
    <t>Description</t>
  </si>
  <si>
    <t>Asana Task Links (add link to tasks you're invoicing for)</t>
  </si>
  <si>
    <t>URL Page Links</t>
  </si>
  <si>
    <t>QTY</t>
  </si>
  <si>
    <t>UNIT PRICE</t>
  </si>
  <si>
    <t>AMOUNT</t>
  </si>
  <si>
    <t>1) New Act End Page</t>
  </si>
  <si>
    <t>Additional Section</t>
  </si>
  <si>
    <t>2) Act End Page Updates (Complete Refresh)</t>
  </si>
  <si>
    <t>3) Quick Edits</t>
  </si>
  <si>
    <t xml:space="preserve">3-5 edits </t>
  </si>
  <si>
    <t>6-8 edits</t>
  </si>
  <si>
    <t>8-10 edits</t>
  </si>
  <si>
    <t>4) New Blog</t>
  </si>
  <si>
    <t>5) Blog Update (Full Refresh)</t>
  </si>
  <si>
    <t>6) Blog Edit </t>
  </si>
  <si>
    <t>7) Multi-Image Post (Carousel)</t>
  </si>
  <si>
    <t>8) Text &amp; Image Carousel</t>
  </si>
  <si>
    <t>9) PDF / Collage Carousel</t>
  </si>
  <si>
    <t>10) Expanded Carousel</t>
  </si>
  <si>
    <t>11) Artist / Job Call outs</t>
  </si>
  <si>
    <t>12) Article Posts</t>
  </si>
  <si>
    <t>13) Concept of 3 (Instagram)</t>
  </si>
  <si>
    <t>14) Basic Video (socials)</t>
  </si>
  <si>
    <t>15) Intermediate Video (Socials)</t>
  </si>
  <si>
    <t>16) BTS / Moment Clips</t>
  </si>
  <si>
    <t>1 Clip</t>
  </si>
  <si>
    <t>3-5 clips</t>
  </si>
  <si>
    <t>17) Grid / GIF Style Video</t>
  </si>
  <si>
    <t>18) Intermediate Video (YouTube/Website)</t>
  </si>
  <si>
    <t>19) Advanced Video (YouTube/Website)</t>
  </si>
  <si>
    <t>20) New Event / Service Page</t>
  </si>
  <si>
    <t>21) Update Event / Service Page</t>
  </si>
  <si>
    <t>22) Edit Event / Service Page</t>
  </si>
  <si>
    <t>23) Pinterest 5 Pins</t>
  </si>
  <si>
    <t xml:space="preserve"> </t>
  </si>
  <si>
    <t>24) Adhoc (CHANGE PRICE IN UNIT PRICE/DUPLICATE ROW TO ADD MORE THAN 1)</t>
  </si>
  <si>
    <t>SUBTOTAL</t>
  </si>
  <si>
    <t>Payment Method:</t>
  </si>
  <si>
    <t>Invoices must be sent on a monthly basis</t>
  </si>
  <si>
    <t>Feed are payable on the basis of approved and published content only</t>
  </si>
  <si>
    <t>To Invoice:</t>
  </si>
  <si>
    <t>Fill out the invoice document sheet</t>
  </si>
  <si>
    <t>Ensure you attach Asana link and webpage link to each page on the website you complete</t>
  </si>
  <si>
    <t>You can only invoice for pages that have been signed off by your line manager and published</t>
  </si>
  <si>
    <t>All elements of the process should be followed and completed prioir to invoicing- for example if you are creating an act end page that requires a video to be published on YouTube, you may not invoice accounts untill the video and related work is signed off  </t>
  </si>
  <si>
    <t>Invoices must first be sent to your line manager for approval this must be a minimum of 5 working days prior to the last day of the month</t>
  </si>
  <si>
    <t>Line manager email address: kim@juliacharles.co.uk</t>
  </si>
  <si>
    <t xml:space="preserve">Please also CC in accounts@juliacharles.co.uk </t>
  </si>
  <si>
    <t>Once approved by your line manager the invoice will be sent through to be processed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</si>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</sst>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-* #,##0.00_-;\-* #,##0.00_-;_-* &quot;-&quot;??_-;_-@_-"/>
  </numFmts>
  <fonts count="50" x14ac:knownFonts="1"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  <scheme val="minor"/>
    </font>
    <font>
      <sz val="16"/>
      <name val="Calibri"/>
      <family val="2"/>
      <scheme val="major"/>
    </font>
    <font>
      <b/>
      <sz val="12"/>
      <name val="Calibri"/>
      <family val="2"/>
      <scheme val="minor"/>
    </font>
    <font>
      <u/>
      <sz val="10"/>
      <color theme="11"/>
      <name val="Arial"/>
      <family val="2"/>
    </font>
    <font>
      <sz val="11"/>
      <name val="Calibri"/>
      <family val="2"/>
      <scheme val="maj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name val="Arial"/>
      <family val="2"/>
    </font>
    <font>
      <sz val="10"/>
      <name val="Aptos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name val="Calibri"/>
      <family val="2"/>
      <scheme val="minor"/>
    </font>
    <font>
      <b/>
      <sz val="11"/>
      <color rgb="FF00ABAD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ABAD"/>
      <name val="Calibri"/>
      <family val="2"/>
      <scheme val="major"/>
    </font>
    <font>
      <b/>
      <sz val="20"/>
      <color rgb="FF00ABAD"/>
      <name val="Calibri"/>
      <family val="2"/>
      <scheme val="major"/>
    </font>
    <font>
      <sz val="11"/>
      <name val="Roboto Condensed"/>
    </font>
  </fonts>
  <fills count="2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ABAD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5" fillId="0" borderId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</cellStyleXfs>
  <cellXfs count="82">
    <xf numFmtId="0" fontId="0" fillId="0" borderId="0" xfId="0"/>
    <xf numFmtId="0" fontId="20" fillId="0" borderId="0" xfId="0" applyFont="1" applyAlignment="1">
      <alignment vertical="center"/>
    </xf>
    <xf numFmtId="0" fontId="21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24" fillId="0" borderId="0" xfId="0" applyFont="1"/>
    <xf numFmtId="0" fontId="32" fillId="0" borderId="0" xfId="0" applyFont="1"/>
    <xf numFmtId="0" fontId="33" fillId="0" borderId="0" xfId="0" applyFont="1" applyAlignment="1">
      <alignment vertical="top"/>
    </xf>
    <xf numFmtId="0" fontId="31" fillId="0" borderId="0" xfId="34" applyFont="1" applyAlignment="1" applyProtection="1">
      <alignment horizontal="left"/>
    </xf>
    <xf numFmtId="0" fontId="34" fillId="0" borderId="0" xfId="34" applyFont="1" applyAlignment="1" applyProtection="1">
      <alignment horizontal="left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3" fillId="0" borderId="0" xfId="0" applyFont="1"/>
    <xf numFmtId="165" fontId="22" fillId="0" borderId="0" xfId="0" applyNumberFormat="1" applyFont="1" applyAlignment="1">
      <alignment horizontal="right" vertical="center"/>
    </xf>
    <xf numFmtId="0" fontId="30" fillId="23" borderId="0" xfId="0" applyFont="1" applyFill="1" applyAlignment="1">
      <alignment horizontal="center" vertical="center"/>
    </xf>
    <xf numFmtId="166" fontId="28" fillId="20" borderId="0" xfId="0" applyNumberFormat="1" applyFont="1" applyFill="1" applyAlignment="1">
      <alignment vertical="center"/>
    </xf>
    <xf numFmtId="0" fontId="29" fillId="22" borderId="10" xfId="0" applyFont="1" applyFill="1" applyBorder="1" applyAlignment="1">
      <alignment horizontal="center" vertical="center"/>
    </xf>
    <xf numFmtId="0" fontId="38" fillId="23" borderId="13" xfId="0" applyFont="1" applyFill="1" applyBorder="1" applyAlignment="1">
      <alignment horizontal="left" wrapText="1"/>
    </xf>
    <xf numFmtId="0" fontId="38" fillId="24" borderId="13" xfId="0" applyFont="1" applyFill="1" applyBorder="1" applyAlignment="1">
      <alignment horizontal="left" wrapText="1"/>
    </xf>
    <xf numFmtId="0" fontId="26" fillId="0" borderId="13" xfId="0" applyFont="1" applyBorder="1"/>
    <xf numFmtId="166" fontId="20" fillId="25" borderId="13" xfId="0" applyNumberFormat="1" applyFont="1" applyFill="1" applyBorder="1" applyAlignment="1" applyProtection="1">
      <alignment vertical="center"/>
      <protection locked="0"/>
    </xf>
    <xf numFmtId="166" fontId="20" fillId="0" borderId="13" xfId="0" applyNumberFormat="1" applyFont="1" applyBorder="1" applyAlignment="1" applyProtection="1">
      <alignment vertical="center"/>
      <protection locked="0"/>
    </xf>
    <xf numFmtId="0" fontId="40" fillId="0" borderId="0" xfId="0" applyFont="1"/>
    <xf numFmtId="0" fontId="41" fillId="0" borderId="0" xfId="0" applyFont="1"/>
    <xf numFmtId="0" fontId="38" fillId="22" borderId="13" xfId="0" applyFont="1" applyFill="1" applyBorder="1" applyAlignment="1">
      <alignment horizontal="left" wrapText="1"/>
    </xf>
    <xf numFmtId="0" fontId="11" fillId="22" borderId="13" xfId="34" applyFill="1" applyBorder="1" applyAlignment="1" applyProtection="1">
      <alignment wrapText="1"/>
    </xf>
    <xf numFmtId="0" fontId="20" fillId="22" borderId="13" xfId="0" applyFont="1" applyFill="1" applyBorder="1" applyAlignment="1" applyProtection="1">
      <alignment horizontal="center" vertical="center"/>
      <protection locked="0"/>
    </xf>
    <xf numFmtId="166" fontId="20" fillId="22" borderId="13" xfId="0" applyNumberFormat="1" applyFont="1" applyFill="1" applyBorder="1" applyAlignment="1" applyProtection="1">
      <alignment vertical="center"/>
      <protection locked="0"/>
    </xf>
    <xf numFmtId="166" fontId="20" fillId="22" borderId="13" xfId="0" applyNumberFormat="1" applyFont="1" applyFill="1" applyBorder="1" applyAlignment="1">
      <alignment vertical="center"/>
    </xf>
    <xf numFmtId="0" fontId="38" fillId="23" borderId="15" xfId="0" applyFont="1" applyFill="1" applyBorder="1" applyAlignment="1">
      <alignment horizontal="left" wrapText="1"/>
    </xf>
    <xf numFmtId="0" fontId="38" fillId="23" borderId="16" xfId="0" applyFont="1" applyFill="1" applyBorder="1" applyAlignment="1">
      <alignment horizontal="left" wrapText="1"/>
    </xf>
    <xf numFmtId="0" fontId="38" fillId="23" borderId="17" xfId="0" applyFont="1" applyFill="1" applyBorder="1" applyAlignment="1">
      <alignment horizontal="left" wrapText="1"/>
    </xf>
    <xf numFmtId="0" fontId="11" fillId="23" borderId="13" xfId="34" applyFill="1" applyBorder="1" applyAlignment="1" applyProtection="1">
      <alignment horizontal="left" wrapText="1"/>
    </xf>
    <xf numFmtId="16" fontId="38" fillId="23" borderId="16" xfId="0" applyNumberFormat="1" applyFont="1" applyFill="1" applyBorder="1" applyAlignment="1">
      <alignment horizontal="left" wrapText="1"/>
    </xf>
    <xf numFmtId="0" fontId="36" fillId="0" borderId="0" xfId="0" applyFont="1" applyAlignment="1">
      <alignment horizontal="left" wrapText="1"/>
    </xf>
    <xf numFmtId="0" fontId="20" fillId="22" borderId="0" xfId="0" applyFont="1" applyFill="1"/>
    <xf numFmtId="0" fontId="26" fillId="22" borderId="0" xfId="0" applyFont="1" applyFill="1"/>
    <xf numFmtId="0" fontId="2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29" fillId="22" borderId="0" xfId="0" applyFont="1" applyFill="1" applyAlignment="1">
      <alignment horizontal="center" vertical="center"/>
    </xf>
    <xf numFmtId="0" fontId="33" fillId="22" borderId="0" xfId="0" applyFont="1" applyFill="1" applyAlignment="1">
      <alignment vertical="center"/>
    </xf>
    <xf numFmtId="0" fontId="27" fillId="26" borderId="11" xfId="0" applyFont="1" applyFill="1" applyBorder="1" applyAlignment="1">
      <alignment horizontal="left"/>
    </xf>
    <xf numFmtId="0" fontId="29" fillId="26" borderId="18" xfId="0" applyFont="1" applyFill="1" applyBorder="1" applyAlignment="1">
      <alignment horizontal="left" vertical="center"/>
    </xf>
    <xf numFmtId="0" fontId="39" fillId="26" borderId="14" xfId="0" applyFont="1" applyFill="1" applyBorder="1" applyAlignment="1">
      <alignment horizontal="left"/>
    </xf>
    <xf numFmtId="0" fontId="45" fillId="22" borderId="12" xfId="0" applyFont="1" applyFill="1" applyBorder="1" applyAlignment="1">
      <alignment horizontal="center" vertical="center"/>
    </xf>
    <xf numFmtId="0" fontId="29" fillId="26" borderId="12" xfId="0" applyFont="1" applyFill="1" applyBorder="1" applyAlignment="1">
      <alignment horizontal="center" vertical="center"/>
    </xf>
    <xf numFmtId="0" fontId="29" fillId="26" borderId="0" xfId="0" applyFont="1" applyFill="1" applyAlignment="1">
      <alignment horizontal="left" vertical="center" indent="1"/>
    </xf>
    <xf numFmtId="0" fontId="48" fillId="0" borderId="0" xfId="0" applyFont="1" applyAlignment="1" applyProtection="1">
      <alignment vertical="center"/>
      <protection locked="0"/>
    </xf>
    <xf numFmtId="0" fontId="29" fillId="26" borderId="0" xfId="0" applyFont="1" applyFill="1" applyAlignment="1">
      <alignment vertical="center"/>
    </xf>
    <xf numFmtId="0" fontId="29" fillId="26" borderId="0" xfId="0" applyFont="1" applyFill="1" applyAlignment="1">
      <alignment horizontal="center" vertical="center"/>
    </xf>
    <xf numFmtId="0" fontId="46" fillId="22" borderId="10" xfId="0" applyFont="1" applyFill="1" applyBorder="1"/>
    <xf numFmtId="0" fontId="29" fillId="22" borderId="11" xfId="0" applyFont="1" applyFill="1" applyBorder="1" applyAlignment="1">
      <alignment horizontal="left"/>
    </xf>
    <xf numFmtId="0" fontId="49" fillId="0" borderId="0" xfId="0" applyFont="1"/>
    <xf numFmtId="0" fontId="11" fillId="0" borderId="0" xfId="34" applyAlignment="1" applyProtection="1"/>
    <xf numFmtId="0" fontId="11" fillId="25" borderId="13" xfId="34" applyFill="1" applyBorder="1" applyAlignment="1" applyProtection="1">
      <alignment horizontal="left" wrapText="1"/>
    </xf>
    <xf numFmtId="0" fontId="11" fillId="24" borderId="13" xfId="34" applyFill="1" applyBorder="1" applyAlignment="1" applyProtection="1">
      <alignment horizontal="left" wrapText="1"/>
    </xf>
    <xf numFmtId="0" fontId="38" fillId="24" borderId="13" xfId="0" applyFont="1" applyFill="1" applyBorder="1" applyAlignment="1">
      <alignment horizontal="left" wrapText="1"/>
    </xf>
    <xf numFmtId="0" fontId="39" fillId="26" borderId="14" xfId="0" applyFont="1" applyFill="1" applyBorder="1" applyAlignment="1">
      <alignment horizontal="left"/>
    </xf>
    <xf numFmtId="0" fontId="27" fillId="26" borderId="11" xfId="0" applyFont="1" applyFill="1" applyBorder="1" applyAlignment="1">
      <alignment horizontal="left"/>
    </xf>
    <xf numFmtId="0" fontId="38" fillId="23" borderId="13" xfId="0" applyFont="1" applyFill="1" applyBorder="1" applyAlignment="1">
      <alignment horizontal="left" wrapText="1"/>
    </xf>
    <xf numFmtId="0" fontId="36" fillId="0" borderId="0" xfId="0" applyFont="1" applyAlignment="1">
      <alignment horizontal="left" wrapText="1"/>
    </xf>
    <xf numFmtId="0" fontId="42" fillId="22" borderId="0" xfId="0" applyFont="1" applyFill="1" applyAlignment="1">
      <alignment horizontal="left"/>
    </xf>
    <xf numFmtId="0" fontId="43" fillId="22" borderId="0" xfId="0" applyFont="1" applyFill="1" applyAlignment="1">
      <alignment horizontal="left"/>
    </xf>
    <xf numFmtId="0" fontId="38" fillId="22" borderId="13" xfId="0" applyFont="1" applyFill="1" applyBorder="1" applyAlignment="1">
      <alignment horizontal="left" wrapText="1"/>
    </xf>
    <xf numFmtId="0" fontId="38" fillId="25" borderId="13" xfId="0" applyFont="1" applyFill="1" applyBorder="1" applyAlignment="1">
      <alignment horizontal="left" wrapText="1"/>
    </xf>
    <xf numFmtId="0" fontId="29" fillId="22" borderId="10" xfId="0" applyFont="1" applyFill="1" applyBorder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9" fillId="26" borderId="12" xfId="0" applyFont="1" applyFill="1" applyBorder="1" applyAlignment="1">
      <alignment horizontal="center" vertical="center"/>
    </xf>
    <xf numFmtId="0" fontId="27" fillId="22" borderId="0" xfId="0" applyFont="1" applyFill="1" applyAlignment="1" applyProtection="1">
      <alignment horizontal="center" vertical="center"/>
      <protection locked="0"/>
    </xf>
    <xf numFmtId="0" fontId="37" fillId="26" borderId="10" xfId="0" applyFont="1" applyFill="1" applyBorder="1" applyAlignment="1">
      <alignment horizontal="left" vertical="center"/>
    </xf>
    <xf numFmtId="0" fontId="29" fillId="26" borderId="10" xfId="0" applyFont="1" applyFill="1" applyBorder="1" applyAlignment="1">
      <alignment horizontal="left" vertical="center"/>
    </xf>
    <xf numFmtId="0" fontId="29" fillId="26" borderId="0" xfId="0" applyFont="1" applyFill="1" applyAlignment="1">
      <alignment horizontal="left" vertical="center" indent="1"/>
    </xf>
    <xf numFmtId="0" fontId="30" fillId="23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left" vertical="center" indent="1"/>
    </xf>
    <xf numFmtId="0" fontId="20" fillId="0" borderId="0" xfId="0" applyFont="1" applyAlignment="1">
      <alignment horizontal="center"/>
    </xf>
    <xf numFmtId="0" fontId="38" fillId="23" borderId="15" xfId="0" applyFont="1" applyFill="1" applyBorder="1" applyAlignment="1">
      <alignment horizontal="left" wrapText="1"/>
    </xf>
    <xf numFmtId="0" fontId="38" fillId="23" borderId="16" xfId="0" applyFont="1" applyFill="1" applyBorder="1" applyAlignment="1">
      <alignment horizontal="left" wrapText="1"/>
    </xf>
    <xf numFmtId="0" fontId="38" fillId="23" borderId="17" xfId="0" applyFont="1" applyFill="1" applyBorder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 customBuiltin="1"/>
    <cellStyle name="Comma [0]" xfId="46" builtinId="6" customBuiltin="1"/>
    <cellStyle name="Currency" xfId="47" builtinId="4" customBuiltin="1"/>
    <cellStyle name="Currency [0]" xfId="48" builtinId="7" customBuiltin="1"/>
    <cellStyle name="Explanatory Text" xfId="28" builtinId="53" customBuiltin="1"/>
    <cellStyle name="Followed Hyperlink" xfId="43" builtinId="9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rmal 2" xfId="44" xr:uid="{00000000-0005-0000-0000-000027000000}"/>
    <cellStyle name="Note" xfId="38" builtinId="10" customBuiltin="1"/>
    <cellStyle name="Output" xfId="39" builtinId="21" customBuiltin="1"/>
    <cellStyle name="Percent" xfId="49" builtinId="5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A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476250</xdr:colOff>
      <xdr:row>17</xdr:row>
      <xdr:rowOff>0</xdr:rowOff>
    </xdr:from>
    <xdr:to>
      <xdr:col>46</xdr:col>
      <xdr:colOff>59267</xdr:colOff>
      <xdr:row>18</xdr:row>
      <xdr:rowOff>121444</xdr:rowOff>
    </xdr:to>
    <xdr:pic>
      <xdr:nvPicPr>
        <xdr:cNvPr id="2" name="Picture 1" descr="Vertex42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7075" y="1809750"/>
          <a:ext cx="1640417" cy="369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M53"/>
  <sheetViews>
    <sheetView showGridLines="0" tabSelected="1" topLeftCell="A36" zoomScale="84" zoomScaleNormal="100" workbookViewId="0">
      <selection activeCell="F20" activeCellId="1" sqref="F26 F20"/>
    </sheetView>
  </sheetViews>
  <sheetFormatPr defaultColWidth="9" defaultRowHeight="15" x14ac:dyDescent="0.25"/>
  <cols>
    <col min="1" max="1" width="63.875" style="5" customWidth="1"/>
    <col min="2" max="2" width="12.625" style="5" customWidth="1"/>
    <col min="3" max="3" width="17.625" style="5" customWidth="1"/>
    <col min="4" max="4" width="6.625" style="5" customWidth="1"/>
    <col min="5" max="5" width="6.625" style="5" hidden="1" customWidth="1"/>
    <col min="6" max="6" width="46" style="5" customWidth="1"/>
    <col min="7" max="7" width="17.125" style="5" customWidth="1"/>
    <col min="8" max="8" width="6.625" style="5" customWidth="1"/>
    <col min="9" max="9" width="12.625" style="5" customWidth="1"/>
    <col min="10" max="10" width="17.625" style="5" customWidth="1"/>
    <col min="11" max="11" width="11.625" style="5" customWidth="1"/>
    <col min="12" max="12" width="29" style="5" customWidth="1"/>
    <col min="13" max="16384" width="9" style="5"/>
  </cols>
  <sheetData>
    <row r="1" spans="1:13" ht="46.5" customHeight="1" x14ac:dyDescent="0.25">
      <c r="A1" s="49" t="s">
        <v>0</v>
      </c>
      <c r="B1" s="2"/>
      <c r="C1" s="2"/>
      <c r="D1" s="2"/>
      <c r="E1" s="2"/>
      <c r="F1" s="2"/>
      <c r="G1" s="2"/>
      <c r="H1" s="7"/>
      <c r="I1" s="69" t="s">
        <v>1</v>
      </c>
      <c r="J1" s="69"/>
    </row>
    <row r="2" spans="1:13" ht="19.5" customHeight="1" x14ac:dyDescent="0.25">
      <c r="A2" s="62" t="s">
        <v>2</v>
      </c>
      <c r="B2" s="62"/>
      <c r="C2" s="62"/>
      <c r="D2" s="1"/>
      <c r="E2" s="3"/>
      <c r="F2" s="3"/>
      <c r="G2" s="3"/>
      <c r="L2" s="11"/>
      <c r="M2" s="10"/>
    </row>
    <row r="3" spans="1:13" ht="14.25" customHeight="1" x14ac:dyDescent="0.25">
      <c r="A3" s="62" t="s">
        <v>3</v>
      </c>
      <c r="B3" s="62"/>
      <c r="C3" s="62"/>
      <c r="D3" s="1"/>
      <c r="E3" s="3"/>
      <c r="F3" s="3"/>
      <c r="G3" s="3"/>
      <c r="L3" s="9"/>
      <c r="M3" s="9"/>
    </row>
    <row r="4" spans="1:13" ht="12.75" customHeight="1" x14ac:dyDescent="0.25">
      <c r="A4" s="62" t="s">
        <v>4</v>
      </c>
      <c r="B4" s="62"/>
      <c r="C4" s="62"/>
      <c r="D4" s="1"/>
      <c r="E4" s="3"/>
      <c r="F4" s="3"/>
      <c r="G4" s="3"/>
      <c r="H4" s="71" t="s">
        <v>5</v>
      </c>
      <c r="I4" s="71"/>
      <c r="J4" s="47" t="s">
        <v>6</v>
      </c>
      <c r="L4" s="12"/>
    </row>
    <row r="5" spans="1:13" ht="14.25" customHeight="1" x14ac:dyDescent="0.25">
      <c r="A5" s="62" t="s">
        <v>7</v>
      </c>
      <c r="B5" s="62"/>
      <c r="C5" s="62"/>
      <c r="D5" s="1"/>
      <c r="E5" s="3"/>
      <c r="F5" s="3"/>
      <c r="G5" s="3"/>
      <c r="H5" s="67"/>
      <c r="I5" s="67"/>
      <c r="J5" s="18"/>
      <c r="L5" s="12"/>
    </row>
    <row r="6" spans="1:13" ht="15.75" customHeight="1" x14ac:dyDescent="0.25">
      <c r="A6" s="62" t="s">
        <v>8</v>
      </c>
      <c r="B6" s="62"/>
      <c r="C6" s="62"/>
      <c r="D6" s="1"/>
      <c r="E6" s="3"/>
      <c r="F6" s="3"/>
      <c r="G6" s="3"/>
      <c r="H6" s="68"/>
      <c r="I6" s="68"/>
      <c r="J6" s="41"/>
      <c r="K6" s="38"/>
      <c r="L6" s="42"/>
    </row>
    <row r="7" spans="1:13" ht="13.5" customHeight="1" x14ac:dyDescent="0.25">
      <c r="A7" s="62" t="s">
        <v>9</v>
      </c>
      <c r="B7" s="62"/>
      <c r="C7" s="62"/>
      <c r="D7" s="1"/>
      <c r="E7" s="3"/>
      <c r="F7" s="3"/>
      <c r="G7" s="3"/>
      <c r="H7" s="72"/>
      <c r="I7" s="72"/>
      <c r="J7" s="41"/>
      <c r="K7" s="38"/>
      <c r="L7" s="42"/>
    </row>
    <row r="8" spans="1:13" x14ac:dyDescent="0.25">
      <c r="A8" s="62" t="s">
        <v>10</v>
      </c>
      <c r="B8" s="62"/>
      <c r="C8" s="62"/>
      <c r="D8" s="3"/>
      <c r="E8" s="1"/>
      <c r="F8" s="1"/>
      <c r="G8" s="1"/>
      <c r="H8" s="39" t="s">
        <v>11</v>
      </c>
      <c r="I8" s="1"/>
      <c r="J8" s="1"/>
      <c r="L8" s="4"/>
    </row>
    <row r="9" spans="1:13" ht="20.100000000000001" customHeight="1" x14ac:dyDescent="0.25">
      <c r="A9" s="75" t="s">
        <v>12</v>
      </c>
      <c r="B9" s="75"/>
      <c r="C9" s="75"/>
      <c r="D9" s="3"/>
      <c r="E9" s="4"/>
      <c r="F9" s="4"/>
      <c r="G9" s="4"/>
      <c r="H9" s="73" t="s">
        <v>13</v>
      </c>
      <c r="I9" s="74"/>
      <c r="J9" s="54"/>
      <c r="L9" s="12"/>
    </row>
    <row r="10" spans="1:13" ht="15.75" customHeight="1" x14ac:dyDescent="0.25">
      <c r="A10" s="62" t="s">
        <v>14</v>
      </c>
      <c r="B10" s="62"/>
      <c r="C10" s="62"/>
      <c r="D10" s="3"/>
      <c r="E10" s="4"/>
      <c r="F10" s="4"/>
      <c r="G10" s="4"/>
      <c r="H10" s="74" t="s">
        <v>15</v>
      </c>
      <c r="I10" s="74"/>
      <c r="J10" s="46"/>
      <c r="L10" s="12"/>
    </row>
    <row r="11" spans="1:13" ht="15.75" customHeight="1" x14ac:dyDescent="0.25">
      <c r="A11" s="36"/>
      <c r="B11" s="36"/>
      <c r="C11" s="36"/>
      <c r="D11" s="3"/>
      <c r="E11" s="4"/>
      <c r="F11" s="4"/>
      <c r="G11" s="4"/>
      <c r="H11" s="44" t="s">
        <v>16</v>
      </c>
      <c r="I11" s="44"/>
      <c r="J11" s="54"/>
      <c r="L11" s="12"/>
    </row>
    <row r="12" spans="1:13" ht="15.75" customHeight="1" x14ac:dyDescent="0.25">
      <c r="A12" s="62" t="s">
        <v>17</v>
      </c>
      <c r="B12" s="62"/>
      <c r="C12" s="62"/>
      <c r="D12" s="3"/>
      <c r="E12" s="4"/>
      <c r="F12" s="4"/>
      <c r="G12" s="4"/>
      <c r="H12" s="59" t="s">
        <v>18</v>
      </c>
      <c r="I12" s="60"/>
      <c r="J12" s="54"/>
      <c r="L12" s="4"/>
    </row>
    <row r="13" spans="1:13" ht="15.75" customHeight="1" x14ac:dyDescent="0.25">
      <c r="A13" s="62" t="s">
        <v>19</v>
      </c>
      <c r="B13" s="62"/>
      <c r="C13" s="62"/>
      <c r="D13" s="3"/>
      <c r="E13" s="4"/>
      <c r="F13" s="55"/>
      <c r="G13" s="37"/>
      <c r="H13" s="63" t="s">
        <v>20</v>
      </c>
      <c r="I13" s="64"/>
      <c r="J13" s="38"/>
      <c r="K13" s="38"/>
      <c r="L13" s="13"/>
    </row>
    <row r="14" spans="1:13" ht="15.75" customHeight="1" x14ac:dyDescent="0.25">
      <c r="A14" s="62" t="s">
        <v>21</v>
      </c>
      <c r="B14" s="62"/>
      <c r="C14" s="62"/>
      <c r="D14" s="3"/>
      <c r="E14" s="4"/>
      <c r="F14" s="4"/>
      <c r="G14" s="4"/>
      <c r="H14" s="45" t="s">
        <v>22</v>
      </c>
      <c r="I14" s="43"/>
      <c r="J14" s="52"/>
      <c r="L14" s="13"/>
    </row>
    <row r="15" spans="1:13" ht="15.75" customHeight="1" x14ac:dyDescent="0.25">
      <c r="A15" s="62" t="s">
        <v>23</v>
      </c>
      <c r="B15" s="62"/>
      <c r="C15" s="62"/>
      <c r="D15" s="3"/>
      <c r="E15" s="4"/>
      <c r="F15" s="4"/>
      <c r="G15" s="4"/>
      <c r="H15" s="59" t="s">
        <v>24</v>
      </c>
      <c r="I15" s="60"/>
      <c r="J15" s="52"/>
      <c r="L15" s="13"/>
    </row>
    <row r="16" spans="1:13" ht="15.75" customHeight="1" x14ac:dyDescent="0.25">
      <c r="A16" s="36"/>
      <c r="B16" s="36"/>
      <c r="C16" s="36"/>
      <c r="D16" s="3"/>
      <c r="E16" s="4"/>
      <c r="F16" s="4"/>
      <c r="G16" s="4"/>
      <c r="H16" s="45" t="s">
        <v>25</v>
      </c>
      <c r="I16" s="43"/>
      <c r="J16" s="53"/>
      <c r="L16" s="13"/>
    </row>
    <row r="17" spans="1:12" ht="15.75" customHeight="1" x14ac:dyDescent="0.25">
      <c r="A17" s="62"/>
      <c r="B17" s="62"/>
      <c r="C17" s="62"/>
      <c r="D17" s="3"/>
      <c r="E17" s="4"/>
      <c r="F17" s="4"/>
      <c r="G17" s="4"/>
      <c r="H17" s="40"/>
      <c r="I17" s="40"/>
      <c r="J17" s="40"/>
      <c r="L17" s="12"/>
    </row>
    <row r="18" spans="1:12" ht="20.100000000000001" customHeight="1" x14ac:dyDescent="0.25">
      <c r="A18" s="48" t="s">
        <v>26</v>
      </c>
      <c r="B18" s="48"/>
      <c r="C18" s="48"/>
      <c r="D18" s="50"/>
      <c r="E18" s="50"/>
      <c r="F18" s="50" t="s">
        <v>27</v>
      </c>
      <c r="G18" s="50" t="s">
        <v>28</v>
      </c>
      <c r="H18" s="51" t="s">
        <v>29</v>
      </c>
      <c r="I18" s="51" t="s">
        <v>30</v>
      </c>
      <c r="J18" s="51" t="s">
        <v>31</v>
      </c>
      <c r="L18" s="14"/>
    </row>
    <row r="19" spans="1:12" ht="48.75" customHeight="1" x14ac:dyDescent="0.25">
      <c r="A19" s="65" t="s">
        <v>32</v>
      </c>
      <c r="B19" s="65"/>
      <c r="C19" s="65"/>
      <c r="D19" s="65"/>
      <c r="E19" s="65"/>
      <c r="F19" s="27"/>
      <c r="G19" s="26"/>
      <c r="H19" s="28">
        <v>0</v>
      </c>
      <c r="I19" s="29">
        <v>35</v>
      </c>
      <c r="J19" s="30">
        <f>IF(H19="",ROUND(1*I19,2),ROUND(H19*I19,2))</f>
        <v>0</v>
      </c>
      <c r="L19" s="12"/>
    </row>
    <row r="20" spans="1:12" ht="48.75" customHeight="1" x14ac:dyDescent="0.25">
      <c r="B20" s="26" t="s">
        <v>33</v>
      </c>
      <c r="C20" s="26"/>
      <c r="D20" s="26"/>
      <c r="E20" s="26"/>
      <c r="F20" s="27"/>
      <c r="G20" s="26"/>
      <c r="H20" s="28">
        <v>0</v>
      </c>
      <c r="I20" s="29">
        <v>5</v>
      </c>
      <c r="J20" s="30">
        <f>IF(H20="",ROUND(1*I20,2),ROUND(H20*I20,2))</f>
        <v>0</v>
      </c>
      <c r="L20" s="12"/>
    </row>
    <row r="21" spans="1:12" ht="20.25" customHeight="1" x14ac:dyDescent="0.25">
      <c r="A21" s="66" t="s">
        <v>34</v>
      </c>
      <c r="B21" s="66"/>
      <c r="C21" s="66"/>
      <c r="D21" s="66"/>
      <c r="E21" s="66"/>
      <c r="F21" s="56"/>
      <c r="G21" s="56"/>
      <c r="H21" s="28">
        <v>0</v>
      </c>
      <c r="I21" s="22">
        <v>35</v>
      </c>
      <c r="J21" s="30">
        <f>IF(H21="",ROUND(1*I21,2),ROUND(H21*I21,2))</f>
        <v>0</v>
      </c>
      <c r="L21" s="12"/>
    </row>
    <row r="22" spans="1:12" ht="20.25" customHeight="1" x14ac:dyDescent="0.25">
      <c r="A22" s="79" t="s">
        <v>35</v>
      </c>
      <c r="B22" s="80"/>
      <c r="C22" s="80"/>
      <c r="D22" s="81"/>
      <c r="E22" s="19"/>
      <c r="F22" s="19"/>
      <c r="G22" s="19"/>
      <c r="H22" s="28">
        <v>0</v>
      </c>
      <c r="I22" s="23">
        <v>35</v>
      </c>
      <c r="J22" s="30">
        <f>IF(H22="",ROUND(1*I22,2),ROUND(H22*I22,2))</f>
        <v>0</v>
      </c>
      <c r="L22" s="12"/>
    </row>
    <row r="23" spans="1:12" ht="20.25" customHeight="1" x14ac:dyDescent="0.25">
      <c r="A23" s="31"/>
      <c r="B23" s="32"/>
      <c r="C23" s="35" t="s">
        <v>36</v>
      </c>
      <c r="D23" s="33"/>
      <c r="E23" s="19"/>
      <c r="F23" s="19"/>
      <c r="G23" s="19"/>
      <c r="H23" s="28">
        <v>0</v>
      </c>
      <c r="I23" s="23">
        <v>15</v>
      </c>
      <c r="J23" s="30">
        <f>IF(H23="",ROUND(1*I23,2),ROUND(H23*I23,2))</f>
        <v>0</v>
      </c>
      <c r="L23" s="12"/>
    </row>
    <row r="24" spans="1:12" ht="20.25" customHeight="1" x14ac:dyDescent="0.25">
      <c r="A24" s="31"/>
      <c r="B24" s="32"/>
      <c r="C24" s="35" t="s">
        <v>37</v>
      </c>
      <c r="D24" s="33"/>
      <c r="E24" s="19"/>
      <c r="F24" s="19"/>
      <c r="G24" s="19"/>
      <c r="H24" s="28">
        <v>0</v>
      </c>
      <c r="I24" s="23">
        <v>25</v>
      </c>
      <c r="J24" s="30">
        <f>IF(H24="",ROUND(1*I24,2),ROUND(H24*I24,2))</f>
        <v>0</v>
      </c>
      <c r="L24" s="12"/>
    </row>
    <row r="25" spans="1:12" ht="20.25" customHeight="1" x14ac:dyDescent="0.25">
      <c r="A25" s="31"/>
      <c r="B25" s="32"/>
      <c r="C25" s="35" t="s">
        <v>38</v>
      </c>
      <c r="D25" s="33"/>
      <c r="E25" s="19"/>
      <c r="F25" s="19"/>
      <c r="G25" s="19"/>
      <c r="H25" s="28">
        <v>0</v>
      </c>
      <c r="I25" s="23">
        <v>30</v>
      </c>
      <c r="J25" s="30">
        <f>IF(H25="",ROUND(1*I25,2),ROUND(H25*I25,2))</f>
        <v>0</v>
      </c>
      <c r="L25" s="12"/>
    </row>
    <row r="26" spans="1:12" ht="20.25" customHeight="1" x14ac:dyDescent="0.25">
      <c r="A26" s="58" t="s">
        <v>39</v>
      </c>
      <c r="B26" s="58"/>
      <c r="C26" s="58"/>
      <c r="D26" s="58"/>
      <c r="E26" s="58"/>
      <c r="F26" s="56"/>
      <c r="G26" s="57"/>
      <c r="H26" s="28">
        <v>0</v>
      </c>
      <c r="I26" s="22">
        <v>80</v>
      </c>
      <c r="J26" s="30">
        <f>IF(H26="",ROUND(1*I26,2),ROUND(H26*I26,2))</f>
        <v>0</v>
      </c>
      <c r="L26" s="12"/>
    </row>
    <row r="27" spans="1:12" x14ac:dyDescent="0.25">
      <c r="A27" s="61" t="s">
        <v>40</v>
      </c>
      <c r="B27" s="61"/>
      <c r="C27" s="61"/>
      <c r="D27" s="61"/>
      <c r="E27" s="61"/>
      <c r="F27" s="34"/>
      <c r="G27" s="19"/>
      <c r="H27" s="28">
        <v>0</v>
      </c>
      <c r="I27" s="23">
        <v>40</v>
      </c>
      <c r="J27" s="30">
        <f>IF(H27="",ROUND(1*I27,2),ROUND(H27*I27,2))</f>
        <v>0</v>
      </c>
      <c r="L27" s="14"/>
    </row>
    <row r="28" spans="1:12" ht="20.25" customHeight="1" x14ac:dyDescent="0.25">
      <c r="A28" s="58" t="s">
        <v>41</v>
      </c>
      <c r="B28" s="58"/>
      <c r="C28" s="58"/>
      <c r="D28" s="58"/>
      <c r="E28" s="58"/>
      <c r="F28" s="20"/>
      <c r="G28" s="20"/>
      <c r="H28" s="28">
        <v>0</v>
      </c>
      <c r="I28" s="22">
        <v>25</v>
      </c>
      <c r="J28" s="30">
        <f>IF(H28="",ROUND(1*I28,2),ROUND(H28*I28,2))</f>
        <v>0</v>
      </c>
      <c r="L28" s="14"/>
    </row>
    <row r="29" spans="1:12" ht="20.25" customHeight="1" x14ac:dyDescent="0.25">
      <c r="A29" s="61" t="s">
        <v>42</v>
      </c>
      <c r="B29" s="61"/>
      <c r="C29" s="61"/>
      <c r="D29" s="61"/>
      <c r="E29" s="61"/>
      <c r="F29" s="19"/>
      <c r="G29" s="19"/>
      <c r="H29" s="28">
        <v>0</v>
      </c>
      <c r="I29" s="23">
        <v>10</v>
      </c>
      <c r="J29" s="30">
        <f>IF(H29="",ROUND(1*I29,2),ROUND(H29*I29,2))</f>
        <v>0</v>
      </c>
      <c r="L29" s="14"/>
    </row>
    <row r="30" spans="1:12" ht="20.25" customHeight="1" x14ac:dyDescent="0.25">
      <c r="A30" s="58" t="s">
        <v>43</v>
      </c>
      <c r="B30" s="58"/>
      <c r="C30" s="58"/>
      <c r="D30" s="58"/>
      <c r="E30" s="58"/>
      <c r="F30" s="20"/>
      <c r="G30" s="20"/>
      <c r="H30" s="28">
        <v>0</v>
      </c>
      <c r="I30" s="22">
        <v>15</v>
      </c>
      <c r="J30" s="30">
        <f>IF(H30="",ROUND(1*I30,2),ROUND(H30*I30,2))</f>
        <v>0</v>
      </c>
      <c r="L30" s="14"/>
    </row>
    <row r="31" spans="1:12" ht="20.25" customHeight="1" x14ac:dyDescent="0.25">
      <c r="A31" s="61" t="s">
        <v>44</v>
      </c>
      <c r="B31" s="61"/>
      <c r="C31" s="61"/>
      <c r="D31" s="61"/>
      <c r="E31" s="61"/>
      <c r="F31" s="19"/>
      <c r="G31" s="19"/>
      <c r="H31" s="28">
        <v>0</v>
      </c>
      <c r="I31" s="23">
        <v>20</v>
      </c>
      <c r="J31" s="30">
        <f>IF(H31="",ROUND(1*I31,2),ROUND(H31*I31,2))</f>
        <v>0</v>
      </c>
      <c r="L31" s="14"/>
    </row>
    <row r="32" spans="1:12" ht="20.25" customHeight="1" x14ac:dyDescent="0.25">
      <c r="A32" s="58" t="s">
        <v>45</v>
      </c>
      <c r="B32" s="58"/>
      <c r="C32" s="58"/>
      <c r="D32" s="58"/>
      <c r="E32" s="58"/>
      <c r="F32" s="20"/>
      <c r="G32" s="20"/>
      <c r="H32" s="28">
        <v>0</v>
      </c>
      <c r="I32" s="22">
        <v>28</v>
      </c>
      <c r="J32" s="30">
        <f>IF(H32="",ROUND(1*I32,2),ROUND(H32*I32,2))</f>
        <v>0</v>
      </c>
      <c r="L32" s="14"/>
    </row>
    <row r="33" spans="1:12" ht="20.25" customHeight="1" x14ac:dyDescent="0.25">
      <c r="A33" s="61" t="s">
        <v>46</v>
      </c>
      <c r="B33" s="61"/>
      <c r="C33" s="61"/>
      <c r="D33" s="61"/>
      <c r="E33" s="61"/>
      <c r="F33" s="19"/>
      <c r="G33" s="21"/>
      <c r="H33" s="28">
        <v>0</v>
      </c>
      <c r="I33" s="23">
        <v>15</v>
      </c>
      <c r="J33" s="30">
        <f>IF(H33="",ROUND(1*I33,2),ROUND(H33*I33,2))</f>
        <v>0</v>
      </c>
      <c r="L33" s="14"/>
    </row>
    <row r="34" spans="1:12" ht="20.25" customHeight="1" x14ac:dyDescent="0.25">
      <c r="A34" s="5" t="s">
        <v>47</v>
      </c>
      <c r="B34" s="19"/>
      <c r="C34" s="19"/>
      <c r="D34" s="19"/>
      <c r="E34" s="19"/>
      <c r="F34" s="19"/>
      <c r="G34" s="21"/>
      <c r="H34" s="28">
        <v>0</v>
      </c>
      <c r="I34" s="23">
        <v>15</v>
      </c>
      <c r="J34" s="30">
        <f>IF(H34="",ROUND(1*I34,2),ROUND(H34*I34,2))</f>
        <v>0</v>
      </c>
      <c r="L34" s="14"/>
    </row>
    <row r="35" spans="1:12" ht="20.25" customHeight="1" x14ac:dyDescent="0.25">
      <c r="A35" s="5" t="s">
        <v>48</v>
      </c>
      <c r="B35" s="19"/>
      <c r="C35" s="19"/>
      <c r="D35" s="19"/>
      <c r="E35" s="19"/>
      <c r="F35" s="19"/>
      <c r="G35" s="21"/>
      <c r="H35" s="28">
        <v>0</v>
      </c>
      <c r="I35" s="23">
        <v>40</v>
      </c>
      <c r="J35" s="30">
        <f>IF(H35="",ROUND(1*I35,2),ROUND(H35*I35,2))</f>
        <v>0</v>
      </c>
      <c r="L35" s="14"/>
    </row>
    <row r="36" spans="1:12" ht="20.25" customHeight="1" x14ac:dyDescent="0.25">
      <c r="A36" s="58" t="s">
        <v>49</v>
      </c>
      <c r="B36" s="58"/>
      <c r="C36" s="58"/>
      <c r="D36" s="58"/>
      <c r="E36" s="58"/>
      <c r="F36" s="19"/>
      <c r="G36" s="21"/>
      <c r="H36" s="28">
        <v>0</v>
      </c>
      <c r="I36" s="22">
        <v>20</v>
      </c>
      <c r="J36" s="30">
        <f>IF(H36="",ROUND(1*I36,2),ROUND(H36*I36,2))</f>
        <v>0</v>
      </c>
      <c r="L36" s="14"/>
    </row>
    <row r="37" spans="1:12" ht="20.25" customHeight="1" x14ac:dyDescent="0.25">
      <c r="A37" s="5" t="s">
        <v>50</v>
      </c>
      <c r="B37" s="19"/>
      <c r="C37" s="19"/>
      <c r="D37" s="19"/>
      <c r="E37" s="19"/>
      <c r="F37" s="19"/>
      <c r="G37" s="21"/>
      <c r="H37" s="28">
        <v>0</v>
      </c>
      <c r="I37" s="23">
        <v>30</v>
      </c>
      <c r="J37" s="30">
        <f>IF(H37="",ROUND(1*I37,2),ROUND(H37*I37,2))</f>
        <v>0</v>
      </c>
      <c r="L37" s="14"/>
    </row>
    <row r="38" spans="1:12" ht="20.25" customHeight="1" x14ac:dyDescent="0.25">
      <c r="A38" s="5" t="s">
        <v>51</v>
      </c>
      <c r="B38" s="19"/>
      <c r="C38" s="19" t="s">
        <v>52</v>
      </c>
      <c r="D38" s="19"/>
      <c r="E38" s="19"/>
      <c r="F38" s="19"/>
      <c r="G38" s="21"/>
      <c r="H38" s="28">
        <v>0</v>
      </c>
      <c r="I38" s="23">
        <v>10</v>
      </c>
      <c r="J38" s="30">
        <f>IF(H38="",ROUND(1*I38,2),ROUND(H38*I38,2))</f>
        <v>0</v>
      </c>
      <c r="L38" s="14"/>
    </row>
    <row r="39" spans="1:12" ht="20.25" customHeight="1" x14ac:dyDescent="0.25">
      <c r="B39" s="19"/>
      <c r="C39" s="19" t="s">
        <v>53</v>
      </c>
      <c r="D39" s="19"/>
      <c r="E39" s="19"/>
      <c r="F39" s="19"/>
      <c r="G39" s="21"/>
      <c r="H39" s="28">
        <v>0</v>
      </c>
      <c r="I39" s="23">
        <v>25</v>
      </c>
      <c r="J39" s="30">
        <f>IF(H39="",ROUND(1*I39,2),ROUND(H39*I39,2))</f>
        <v>0</v>
      </c>
      <c r="L39" s="14"/>
    </row>
    <row r="40" spans="1:12" ht="20.25" customHeight="1" x14ac:dyDescent="0.25">
      <c r="A40" s="5" t="s">
        <v>54</v>
      </c>
      <c r="B40" s="19"/>
      <c r="C40" s="19"/>
      <c r="D40" s="19"/>
      <c r="E40" s="19"/>
      <c r="F40" s="19"/>
      <c r="G40" s="21"/>
      <c r="H40" s="28">
        <v>0</v>
      </c>
      <c r="I40" s="23">
        <v>20</v>
      </c>
      <c r="J40" s="30">
        <f>IF(H40="",ROUND(1*I40,2),ROUND(H40*I40,2))</f>
        <v>0</v>
      </c>
      <c r="L40" s="14"/>
    </row>
    <row r="41" spans="1:12" ht="20.25" customHeight="1" x14ac:dyDescent="0.25">
      <c r="A41" s="5" t="s">
        <v>55</v>
      </c>
      <c r="B41" s="19"/>
      <c r="C41" s="19"/>
      <c r="D41" s="19"/>
      <c r="E41" s="19"/>
      <c r="F41" s="19"/>
      <c r="G41" s="21"/>
      <c r="H41" s="28">
        <v>0</v>
      </c>
      <c r="I41" s="23">
        <v>50</v>
      </c>
      <c r="J41" s="30">
        <f>IF(H41="",ROUND(1*I41,2),ROUND(H41*I41,2))</f>
        <v>0</v>
      </c>
      <c r="L41" s="14"/>
    </row>
    <row r="42" spans="1:12" ht="20.25" customHeight="1" x14ac:dyDescent="0.25">
      <c r="A42" s="5" t="s">
        <v>56</v>
      </c>
      <c r="B42" s="19"/>
      <c r="C42" s="19"/>
      <c r="D42" s="19"/>
      <c r="E42" s="19"/>
      <c r="F42" s="19"/>
      <c r="G42" s="21"/>
      <c r="H42" s="28">
        <v>0</v>
      </c>
      <c r="I42" s="23">
        <v>80</v>
      </c>
      <c r="J42" s="30">
        <f>IF(H42="",ROUND(1*I42,2),ROUND(H42*I42,2))</f>
        <v>0</v>
      </c>
      <c r="L42" s="14"/>
    </row>
    <row r="43" spans="1:12" ht="20.25" customHeight="1" x14ac:dyDescent="0.25">
      <c r="A43" s="5" t="s">
        <v>57</v>
      </c>
      <c r="B43" s="19"/>
      <c r="C43" s="19"/>
      <c r="D43" s="19"/>
      <c r="E43" s="19"/>
      <c r="F43" s="19"/>
      <c r="G43" s="21"/>
      <c r="H43" s="28">
        <v>0</v>
      </c>
      <c r="I43" s="23">
        <v>80</v>
      </c>
      <c r="J43" s="30">
        <f>IF(H43="",ROUND(1*I43,2),ROUND(H43*I43,2))</f>
        <v>0</v>
      </c>
      <c r="L43" s="14"/>
    </row>
    <row r="44" spans="1:12" ht="20.25" customHeight="1" x14ac:dyDescent="0.25">
      <c r="A44" s="5" t="s">
        <v>58</v>
      </c>
      <c r="B44" s="19"/>
      <c r="C44" s="19"/>
      <c r="D44" s="19"/>
      <c r="E44" s="19"/>
      <c r="F44" s="19"/>
      <c r="G44" s="21"/>
      <c r="H44" s="28">
        <v>0</v>
      </c>
      <c r="I44" s="23">
        <v>40</v>
      </c>
      <c r="J44" s="30">
        <f>IF(H44="",ROUND(1*I44,2),ROUND(H44*I44,2))</f>
        <v>0</v>
      </c>
      <c r="L44" s="14"/>
    </row>
    <row r="45" spans="1:12" ht="20.25" customHeight="1" x14ac:dyDescent="0.25">
      <c r="A45" s="5" t="s">
        <v>59</v>
      </c>
      <c r="B45" s="19"/>
      <c r="C45" s="19"/>
      <c r="D45" s="19"/>
      <c r="E45" s="19"/>
      <c r="F45" s="19"/>
      <c r="G45" s="21"/>
      <c r="H45" s="28">
        <v>0</v>
      </c>
      <c r="I45" s="23">
        <v>25</v>
      </c>
      <c r="J45" s="30">
        <f>IF(H45="",ROUND(1*I45,2),ROUND(H45*I45,2))</f>
        <v>0</v>
      </c>
      <c r="L45" s="14"/>
    </row>
    <row r="46" spans="1:12" ht="20.25" customHeight="1" x14ac:dyDescent="0.25">
      <c r="A46" s="5" t="s">
        <v>60</v>
      </c>
      <c r="B46" s="19" t="s">
        <v>61</v>
      </c>
      <c r="C46" s="19"/>
      <c r="D46" s="19"/>
      <c r="E46" s="19"/>
      <c r="F46" s="19"/>
      <c r="G46" s="21"/>
      <c r="H46" s="28">
        <v>0</v>
      </c>
      <c r="I46" s="23">
        <v>15</v>
      </c>
      <c r="J46" s="30">
        <f>IF(H46="",ROUND(1*I46,2),ROUND(H46*I46,2))</f>
        <v>0</v>
      </c>
      <c r="L46" s="14"/>
    </row>
    <row r="47" spans="1:12" ht="20.25" customHeight="1" x14ac:dyDescent="0.25">
      <c r="A47" s="5" t="s">
        <v>62</v>
      </c>
      <c r="B47" s="19" t="s">
        <v>61</v>
      </c>
      <c r="C47" s="19"/>
      <c r="D47" s="19"/>
      <c r="E47" s="19"/>
      <c r="F47" s="19"/>
      <c r="G47" s="21"/>
      <c r="H47" s="28">
        <v>0</v>
      </c>
      <c r="I47" s="23">
        <v>15</v>
      </c>
      <c r="J47" s="30">
        <f>IF(H47="",ROUND(1*I47,2),ROUND(H47*I47,2))</f>
        <v>0</v>
      </c>
      <c r="L47" s="14"/>
    </row>
    <row r="48" spans="1:12" s="6" customFormat="1" ht="20.25" customHeight="1" x14ac:dyDescent="0.2">
      <c r="A48" s="76"/>
      <c r="B48" s="76"/>
      <c r="C48" s="76"/>
      <c r="D48" s="76"/>
      <c r="E48" s="76"/>
      <c r="F48" s="16"/>
      <c r="G48" s="16"/>
      <c r="H48" s="77" t="s">
        <v>63</v>
      </c>
      <c r="I48" s="77"/>
      <c r="J48" s="17">
        <f>SUM(J19:J47)</f>
        <v>0</v>
      </c>
      <c r="L48" s="12"/>
    </row>
    <row r="49" spans="1:12" ht="15.75" x14ac:dyDescent="0.25">
      <c r="A49" s="1"/>
      <c r="B49" s="4"/>
      <c r="C49" s="4"/>
      <c r="D49" s="4"/>
      <c r="E49" s="4"/>
      <c r="F49" s="4"/>
      <c r="G49" s="4"/>
      <c r="H49" s="15"/>
      <c r="I49" s="15"/>
      <c r="J49" s="15"/>
      <c r="L49" s="12"/>
    </row>
    <row r="50" spans="1:12" ht="13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L50" s="12"/>
    </row>
    <row r="51" spans="1:12" ht="13.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L51" s="14"/>
    </row>
    <row r="52" spans="1:12" ht="13.5" customHeight="1" x14ac:dyDescent="0.25">
      <c r="A52" s="70"/>
      <c r="B52" s="70"/>
      <c r="C52" s="70"/>
      <c r="D52" s="70"/>
      <c r="E52" s="70"/>
      <c r="F52" s="70"/>
      <c r="G52" s="70"/>
      <c r="H52" s="70"/>
      <c r="I52" s="70"/>
      <c r="J52" s="70"/>
      <c r="L52" s="12"/>
    </row>
    <row r="53" spans="1:12" x14ac:dyDescent="0.25">
      <c r="L53" s="8"/>
    </row>
  </sheetData>
  <mergeCells count="40">
    <mergeCell ref="I1:J1"/>
    <mergeCell ref="A52:J52"/>
    <mergeCell ref="H4:I4"/>
    <mergeCell ref="H7:I7"/>
    <mergeCell ref="H9:I9"/>
    <mergeCell ref="H10:I10"/>
    <mergeCell ref="A9:C9"/>
    <mergeCell ref="A48:E48"/>
    <mergeCell ref="H48:I48"/>
    <mergeCell ref="A51:J51"/>
    <mergeCell ref="A10:C10"/>
    <mergeCell ref="A12:C12"/>
    <mergeCell ref="A13:C13"/>
    <mergeCell ref="A22:D22"/>
    <mergeCell ref="A2:C2"/>
    <mergeCell ref="A3:C3"/>
    <mergeCell ref="A4:C4"/>
    <mergeCell ref="A5:C5"/>
    <mergeCell ref="A6:C6"/>
    <mergeCell ref="H5:I5"/>
    <mergeCell ref="H6:I6"/>
    <mergeCell ref="A7:C7"/>
    <mergeCell ref="A8:C8"/>
    <mergeCell ref="A32:E32"/>
    <mergeCell ref="A33:E33"/>
    <mergeCell ref="A31:E31"/>
    <mergeCell ref="A19:E19"/>
    <mergeCell ref="A21:E21"/>
    <mergeCell ref="A26:E26"/>
    <mergeCell ref="A36:E36"/>
    <mergeCell ref="H12:I12"/>
    <mergeCell ref="A27:E27"/>
    <mergeCell ref="A28:E28"/>
    <mergeCell ref="A29:E29"/>
    <mergeCell ref="A30:E30"/>
    <mergeCell ref="A17:C17"/>
    <mergeCell ref="H13:I13"/>
    <mergeCell ref="A14:C14"/>
    <mergeCell ref="A15:C15"/>
    <mergeCell ref="H15:I15"/>
  </mergeCells>
  <dataValidations count="1">
    <dataValidation type="list" allowBlank="1" showInputMessage="1" showErrorMessage="1" sqref="I1" xr:uid="{00000000-0002-0000-0000-000000000000}">
      <formula1>"INVOICE,RECEIPT"</formula1>
    </dataValidation>
  </dataValidations>
  <printOptions horizontalCentered="1"/>
  <pageMargins left="0.5" right="0.5" top="0.5" bottom="0.5" header="0.5" footer="0.25"/>
  <pageSetup paperSize="9" scale="98" fitToWidth="0" fitToHeight="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9896-9F61-40D8-B0DC-4D728A0840B6}">
  <dimension ref="A6:A18"/>
  <sheetViews>
    <sheetView topLeftCell="A6" workbookViewId="0">
      <selection activeCell="J20" sqref="J20"/>
    </sheetView>
  </sheetViews>
  <sheetFormatPr defaultColWidth="8.875" defaultRowHeight="14.25" x14ac:dyDescent="0.2"/>
  <sheetData>
    <row r="6" spans="1:1" ht="15" x14ac:dyDescent="0.25">
      <c r="A6" s="24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10" spans="1:1" ht="15" x14ac:dyDescent="0.25">
      <c r="A10" s="24" t="s">
        <v>67</v>
      </c>
    </row>
    <row r="11" spans="1:1" x14ac:dyDescent="0.2">
      <c r="A11" t="s">
        <v>68</v>
      </c>
    </row>
    <row r="12" spans="1:1" x14ac:dyDescent="0.2">
      <c r="A12" t="s">
        <v>69</v>
      </c>
    </row>
    <row r="13" spans="1:1" x14ac:dyDescent="0.2">
      <c r="A13" t="s">
        <v>70</v>
      </c>
    </row>
    <row r="14" spans="1:1" x14ac:dyDescent="0.2">
      <c r="A14" s="25" t="s">
        <v>71</v>
      </c>
    </row>
    <row r="15" spans="1:1" x14ac:dyDescent="0.2">
      <c r="A15" t="s">
        <v>72</v>
      </c>
    </row>
    <row r="16" spans="1:1" x14ac:dyDescent="0.2">
      <c r="A16" t="s">
        <v>73</v>
      </c>
    </row>
    <row r="17" spans="1:1" x14ac:dyDescent="0.2">
      <c r="A17" t="s">
        <v>74</v>
      </c>
    </row>
    <row r="18" spans="1:1" x14ac:dyDescent="0.2">
      <c r="A18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47662C19A194BB6597422B1AEA777" ma:contentTypeVersion="15" ma:contentTypeDescription="Create a new document." ma:contentTypeScope="" ma:versionID="b9bfe5f86f8f06ff77ec41215e058548">
  <xsd:schema xmlns:xsd="http://www.w3.org/2001/XMLSchema" xmlns:xs="http://www.w3.org/2001/XMLSchema" xmlns:p="http://schemas.microsoft.com/office/2006/metadata/properties" xmlns:ns2="f3c9c4d1-2eec-430a-a439-4ef5d0e5748a" xmlns:ns3="2c653060-b098-4d56-8965-82a4d57fe2d6" targetNamespace="http://schemas.microsoft.com/office/2006/metadata/properties" ma:root="true" ma:fieldsID="14f8beb89b52799e643ff3c8ad8a18a6" ns2:_="" ns3:_="">
    <xsd:import namespace="f3c9c4d1-2eec-430a-a439-4ef5d0e5748a"/>
    <xsd:import namespace="2c653060-b098-4d56-8965-82a4d57fe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9c4d1-2eec-430a-a439-4ef5d0e574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0ffaf7-ef70-4164-b66f-0f2d40c92b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53060-b098-4d56-8965-82a4d57fe2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b86b80-161e-41eb-88d9-fd14ae3c841b}" ma:internalName="TaxCatchAll" ma:showField="CatchAllData" ma:web="2c653060-b098-4d56-8965-82a4d57fe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53060-b098-4d56-8965-82a4d57fe2d6" xsi:nil="true"/>
    <lcf76f155ced4ddcb4097134ff3c332f xmlns="f3c9c4d1-2eec-430a-a439-4ef5d0e574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5258E-B66A-47FF-A0B0-19DB019CB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9c4d1-2eec-430a-a439-4ef5d0e5748a"/>
    <ds:schemaRef ds:uri="2c653060-b098-4d56-8965-82a4d57fe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2C6076-3E7F-4885-A017-B36671B58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6D1C8-EC9A-4213-BF72-F97E82B4EAAA}">
  <ds:schemaRefs>
    <ds:schemaRef ds:uri="http://schemas.microsoft.com/office/2006/metadata/properties"/>
    <ds:schemaRef ds:uri="http://schemas.microsoft.com/office/infopath/2007/PartnerControls"/>
    <ds:schemaRef ds:uri="2c653060-b098-4d56-8965-82a4d57fe2d6"/>
    <ds:schemaRef ds:uri="f3c9c4d1-2eec-430a-a439-4ef5d0e5748a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How To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2024-07-02T13:51:39Z</dcterms:created>
  <dcterms:modified xsi:type="dcterms:W3CDTF">2026-08-27T10:54:26Z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0x010100A9047662C19A194BB6597422B1AEA777</vt:lpwstr>
  </property>
  <property fmtid="{D5CDD505-2E9C-101B-9397-08002B2CF9AE}" pid="3" name="MediaServiceImageTags">
    <vt:lpwstr/>
  </property>
</Properties>
</file>